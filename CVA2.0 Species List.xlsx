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gallagher\Documents\"/>
    </mc:Choice>
  </mc:AlternateContent>
  <xr:revisionPtr revIDLastSave="0" documentId="13_ncr:1_{DC8A5303-E55C-42A7-988C-171FC5817033}" xr6:coauthVersionLast="47" xr6:coauthVersionMax="47" xr10:uidLastSave="{00000000-0000-0000-0000-000000000000}"/>
  <bookViews>
    <workbookView xWindow="-26490" yWindow="3870" windowWidth="21600" windowHeight="11295" xr2:uid="{CFD403FF-BA76-4A5D-9CC1-5582BFB66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</calcChain>
</file>

<file path=xl/sharedStrings.xml><?xml version="1.0" encoding="utf-8"?>
<sst xmlns="http://schemas.openxmlformats.org/spreadsheetml/2006/main" count="181" uniqueCount="91">
  <si>
    <t>Common Name</t>
  </si>
  <si>
    <t>Scientific Name</t>
  </si>
  <si>
    <t>Managing Body</t>
  </si>
  <si>
    <t>Feeding Guild</t>
  </si>
  <si>
    <t>NEFMC</t>
  </si>
  <si>
    <t>MAFMC</t>
  </si>
  <si>
    <t>ASMFC</t>
  </si>
  <si>
    <t>MAFMC &amp; ASMFC</t>
  </si>
  <si>
    <t>HMS FMP</t>
  </si>
  <si>
    <t xml:space="preserve">Atlantic cod </t>
  </si>
  <si>
    <t>Atlantic croaker</t>
  </si>
  <si>
    <t>Atlantic halibut</t>
  </si>
  <si>
    <t>Atlantic herring</t>
  </si>
  <si>
    <t>Atlantic mackerel</t>
  </si>
  <si>
    <t>Atlantic sea scallop</t>
  </si>
  <si>
    <t>Atlantic surfclam</t>
  </si>
  <si>
    <t>Atlantic wolffish</t>
  </si>
  <si>
    <t>Black sea bass</t>
  </si>
  <si>
    <t>Bluefish</t>
  </si>
  <si>
    <t>Blueline tilefish</t>
  </si>
  <si>
    <t>Butterfish</t>
  </si>
  <si>
    <t>Chub mackerel</t>
  </si>
  <si>
    <t>Cobia</t>
  </si>
  <si>
    <t>Golden tilefish</t>
  </si>
  <si>
    <t>Haddock</t>
  </si>
  <si>
    <t>Longfin squid</t>
  </si>
  <si>
    <t>Ocean pout</t>
  </si>
  <si>
    <t>Ocean quahog</t>
  </si>
  <si>
    <t>Pollock</t>
  </si>
  <si>
    <t>Scup</t>
  </si>
  <si>
    <t>Shortfin squid</t>
  </si>
  <si>
    <t>Spanish mackerel</t>
  </si>
  <si>
    <t>Summer flounder</t>
  </si>
  <si>
    <t>Spiny dogfish</t>
  </si>
  <si>
    <t>Striped bass</t>
  </si>
  <si>
    <t>Tautog</t>
  </si>
  <si>
    <t>White hake</t>
  </si>
  <si>
    <t>Windowpane flounder</t>
  </si>
  <si>
    <t>Winter flounder</t>
  </si>
  <si>
    <t>Witch flounder</t>
  </si>
  <si>
    <t>Yellowtail flounder</t>
  </si>
  <si>
    <t>Apex Predator</t>
  </si>
  <si>
    <t>Piscivore</t>
  </si>
  <si>
    <t>Benthivore</t>
  </si>
  <si>
    <t>Planktivore</t>
  </si>
  <si>
    <t>Benthos</t>
  </si>
  <si>
    <t>Bluefin Tuna</t>
  </si>
  <si>
    <t>Monkfish/Goosefish</t>
  </si>
  <si>
    <t>Red Drum/Red</t>
  </si>
  <si>
    <t>Sciaenops ocellatus</t>
  </si>
  <si>
    <t>Gadus morhua</t>
  </si>
  <si>
    <t>Hippoglossus hippoglossus</t>
  </si>
  <si>
    <t>Clupea harengus</t>
  </si>
  <si>
    <t>Melanogrammus aeglefinus</t>
  </si>
  <si>
    <t>Pollachius virens</t>
  </si>
  <si>
    <t>Pseudopleuronectes americanus</t>
  </si>
  <si>
    <t>Limanda ferruginea</t>
  </si>
  <si>
    <t>Anarhichas lupus</t>
  </si>
  <si>
    <t>Urophycis tenuis</t>
  </si>
  <si>
    <t>Glyptocephalus cynoglossus</t>
  </si>
  <si>
    <t>Scophthalmus aquosus</t>
  </si>
  <si>
    <t>Zoarces americanus</t>
  </si>
  <si>
    <t>Micropogonias undulates</t>
  </si>
  <si>
    <t>Scomber scombrus</t>
  </si>
  <si>
    <t>Peprilus triacanthus</t>
  </si>
  <si>
    <t>Doryteuthis (Amerigo) pealeii</t>
  </si>
  <si>
    <t>Illex illecebrosus</t>
  </si>
  <si>
    <t>Scomber colias</t>
  </si>
  <si>
    <t>Placopecten magellanicus</t>
  </si>
  <si>
    <t>Spisula solidissima</t>
  </si>
  <si>
    <t>Centropristis striata</t>
  </si>
  <si>
    <t>Paralichthys dentatus</t>
  </si>
  <si>
    <t>Stenotomus chrysops</t>
  </si>
  <si>
    <t>Thunnus thynnus</t>
  </si>
  <si>
    <t>Pomatomus saltatrix</t>
  </si>
  <si>
    <t>Lopholatilus chamaeleonticeps</t>
  </si>
  <si>
    <t>Caulolatilus microps</t>
  </si>
  <si>
    <t>Rachycentron canadum</t>
  </si>
  <si>
    <t>Lophius americanus</t>
  </si>
  <si>
    <t>Arctica islandica</t>
  </si>
  <si>
    <t>Scomberomorus maculatus</t>
  </si>
  <si>
    <t>Squalus acanthias</t>
  </si>
  <si>
    <t>Morone saxatilis</t>
  </si>
  <si>
    <t>Tautoga onitis</t>
  </si>
  <si>
    <t>SCI_NAME</t>
  </si>
  <si>
    <t>Habitat Guild</t>
  </si>
  <si>
    <t>Groundfish</t>
  </si>
  <si>
    <t>Pelagic Migratory</t>
  </si>
  <si>
    <t>Benthic</t>
  </si>
  <si>
    <t xml:space="preserve">Pelagic </t>
  </si>
  <si>
    <t>Pelagic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</si>
</sst>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aa-edab.github.io/catalog/species_grouping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A4BA-9B1F-49C1-813E-1EBD57E394AC}">
  <dimension ref="A1:F36"/>
  <sheetViews>
    <sheetView tabSelected="1" zoomScale="80" zoomScaleNormal="80" workbookViewId="0">
      <selection activeCell="F32" sqref="F32"/>
    </sheetView>
  </sheetViews>
  <sheetFormatPr defaultRowHeight="15" x14ac:dyDescent="0.25"/>
  <cols>
    <col min="1" max="1" width="40.85546875" style="2" bestFit="1" customWidth="1"/>
    <col min="2" max="2" width="33.5703125" bestFit="1" customWidth="1"/>
    <col min="3" max="3" width="35.140625" bestFit="1" customWidth="1"/>
    <col min="4" max="4" width="16.42578125" bestFit="1" customWidth="1"/>
    <col min="5" max="5" width="14.85546875" bestFit="1" customWidth="1"/>
    <col min="6" max="6" width="18" bestFit="1" customWidth="1"/>
  </cols>
  <sheetData>
    <row r="1" spans="1:6" s="5" customFormat="1" x14ac:dyDescent="0.25">
      <c r="A1" s="4" t="s">
        <v>0</v>
      </c>
      <c r="B1" s="5" t="s">
        <v>1</v>
      </c>
      <c r="C1" s="5" t="s">
        <v>84</v>
      </c>
      <c r="D1" s="5" t="s">
        <v>2</v>
      </c>
      <c r="E1" s="6" t="s">
        <v>3</v>
      </c>
      <c r="F1" s="5" t="s">
        <v>85</v>
      </c>
    </row>
    <row r="2" spans="1:6" x14ac:dyDescent="0.25">
      <c r="A2" s="3" t="s">
        <v>9</v>
      </c>
      <c r="B2" s="1" t="s">
        <v>50</v>
      </c>
      <c r="C2" t="str">
        <f>UPPER(B2)</f>
        <v>GADUS MORHUA</v>
      </c>
      <c r="D2" t="s">
        <v>4</v>
      </c>
      <c r="E2" t="s">
        <v>42</v>
      </c>
      <c r="F2" t="s">
        <v>86</v>
      </c>
    </row>
    <row r="3" spans="1:6" x14ac:dyDescent="0.25">
      <c r="A3" s="3" t="s">
        <v>10</v>
      </c>
      <c r="B3" s="1" t="s">
        <v>62</v>
      </c>
      <c r="C3" t="str">
        <f t="shared" ref="C3:C36" si="0">UPPER(B3)</f>
        <v>MICROPOGONIAS UNDULATES</v>
      </c>
      <c r="D3" t="s">
        <v>6</v>
      </c>
      <c r="E3" t="s">
        <v>43</v>
      </c>
      <c r="F3" t="s">
        <v>86</v>
      </c>
    </row>
    <row r="4" spans="1:6" x14ac:dyDescent="0.25">
      <c r="A4" s="3" t="s">
        <v>11</v>
      </c>
      <c r="B4" s="1" t="s">
        <v>51</v>
      </c>
      <c r="C4" t="str">
        <f t="shared" si="0"/>
        <v>HIPPOGLOSSUS HIPPOGLOSSUS</v>
      </c>
      <c r="D4" t="s">
        <v>4</v>
      </c>
      <c r="E4" t="s">
        <v>42</v>
      </c>
      <c r="F4" t="s">
        <v>86</v>
      </c>
    </row>
    <row r="5" spans="1:6" x14ac:dyDescent="0.25">
      <c r="A5" s="3" t="s">
        <v>12</v>
      </c>
      <c r="B5" s="1" t="s">
        <v>52</v>
      </c>
      <c r="C5" t="str">
        <f t="shared" si="0"/>
        <v>CLUPEA HARENGUS</v>
      </c>
      <c r="D5" t="s">
        <v>4</v>
      </c>
      <c r="E5" t="s">
        <v>44</v>
      </c>
      <c r="F5" t="s">
        <v>90</v>
      </c>
    </row>
    <row r="6" spans="1:6" x14ac:dyDescent="0.25">
      <c r="A6" s="3" t="s">
        <v>13</v>
      </c>
      <c r="B6" s="1" t="s">
        <v>63</v>
      </c>
      <c r="C6" t="str">
        <f t="shared" si="0"/>
        <v>SCOMBER SCOMBRUS</v>
      </c>
      <c r="D6" t="s">
        <v>5</v>
      </c>
      <c r="E6" t="s">
        <v>44</v>
      </c>
      <c r="F6" t="s">
        <v>89</v>
      </c>
    </row>
    <row r="7" spans="1:6" x14ac:dyDescent="0.25">
      <c r="A7" s="3" t="s">
        <v>14</v>
      </c>
      <c r="B7" s="1" t="s">
        <v>68</v>
      </c>
      <c r="C7" t="str">
        <f t="shared" si="0"/>
        <v>PLACOPECTEN MAGELLANICUS</v>
      </c>
      <c r="D7" t="s">
        <v>4</v>
      </c>
      <c r="E7" t="s">
        <v>45</v>
      </c>
      <c r="F7" t="s">
        <v>88</v>
      </c>
    </row>
    <row r="8" spans="1:6" x14ac:dyDescent="0.25">
      <c r="A8" s="3" t="s">
        <v>15</v>
      </c>
      <c r="B8" s="1" t="s">
        <v>69</v>
      </c>
      <c r="C8" t="str">
        <f t="shared" si="0"/>
        <v>SPISULA SOLIDISSIMA</v>
      </c>
      <c r="D8" t="s">
        <v>5</v>
      </c>
      <c r="E8" t="s">
        <v>45</v>
      </c>
      <c r="F8" t="s">
        <v>88</v>
      </c>
    </row>
    <row r="9" spans="1:6" x14ac:dyDescent="0.25">
      <c r="A9" s="3" t="s">
        <v>16</v>
      </c>
      <c r="B9" s="1" t="s">
        <v>57</v>
      </c>
      <c r="C9" t="str">
        <f t="shared" si="0"/>
        <v>ANARHICHAS LUPUS</v>
      </c>
      <c r="D9" t="s">
        <v>4</v>
      </c>
      <c r="E9" t="s">
        <v>43</v>
      </c>
      <c r="F9" t="s">
        <v>86</v>
      </c>
    </row>
    <row r="10" spans="1:6" x14ac:dyDescent="0.25">
      <c r="A10" s="3" t="s">
        <v>17</v>
      </c>
      <c r="B10" s="1" t="s">
        <v>70</v>
      </c>
      <c r="C10" t="str">
        <f t="shared" si="0"/>
        <v>CENTROPRISTIS STRIATA</v>
      </c>
      <c r="D10" t="s">
        <v>7</v>
      </c>
      <c r="E10" t="s">
        <v>43</v>
      </c>
      <c r="F10" t="s">
        <v>86</v>
      </c>
    </row>
    <row r="11" spans="1:6" x14ac:dyDescent="0.25">
      <c r="A11" s="3" t="s">
        <v>46</v>
      </c>
      <c r="B11" s="1" t="s">
        <v>73</v>
      </c>
      <c r="C11" t="str">
        <f t="shared" si="0"/>
        <v>THUNNUS THYNNUS</v>
      </c>
      <c r="D11" t="s">
        <v>8</v>
      </c>
      <c r="E11" t="s">
        <v>41</v>
      </c>
      <c r="F11" t="s">
        <v>87</v>
      </c>
    </row>
    <row r="12" spans="1:6" x14ac:dyDescent="0.25">
      <c r="A12" s="3" t="s">
        <v>18</v>
      </c>
      <c r="B12" s="1" t="s">
        <v>74</v>
      </c>
      <c r="C12" t="str">
        <f t="shared" si="0"/>
        <v>POMATOMUS SALTATRIX</v>
      </c>
      <c r="D12" t="s">
        <v>5</v>
      </c>
      <c r="E12" t="s">
        <v>42</v>
      </c>
      <c r="F12" t="s">
        <v>90</v>
      </c>
    </row>
    <row r="13" spans="1:6" x14ac:dyDescent="0.25">
      <c r="A13" s="3" t="s">
        <v>19</v>
      </c>
      <c r="B13" s="1" t="s">
        <v>76</v>
      </c>
      <c r="C13" t="str">
        <f t="shared" si="0"/>
        <v>CAULOLATILUS MICROPS</v>
      </c>
      <c r="D13" t="s">
        <v>5</v>
      </c>
      <c r="E13" t="s">
        <v>43</v>
      </c>
      <c r="F13" t="s">
        <v>86</v>
      </c>
    </row>
    <row r="14" spans="1:6" x14ac:dyDescent="0.25">
      <c r="A14" s="3" t="s">
        <v>20</v>
      </c>
      <c r="B14" s="1" t="s">
        <v>64</v>
      </c>
      <c r="C14" t="str">
        <f t="shared" si="0"/>
        <v>PEPRILUS TRIACANTHUS</v>
      </c>
      <c r="D14" t="s">
        <v>5</v>
      </c>
      <c r="E14" t="s">
        <v>44</v>
      </c>
      <c r="F14" t="s">
        <v>90</v>
      </c>
    </row>
    <row r="15" spans="1:6" x14ac:dyDescent="0.25">
      <c r="A15" s="3" t="s">
        <v>21</v>
      </c>
      <c r="B15" s="1" t="s">
        <v>67</v>
      </c>
      <c r="C15" t="str">
        <f t="shared" si="0"/>
        <v>SCOMBER COLIAS</v>
      </c>
      <c r="D15" t="s">
        <v>5</v>
      </c>
      <c r="E15" t="s">
        <v>44</v>
      </c>
      <c r="F15" t="s">
        <v>90</v>
      </c>
    </row>
    <row r="16" spans="1:6" x14ac:dyDescent="0.25">
      <c r="A16" s="3" t="s">
        <v>22</v>
      </c>
      <c r="B16" s="1" t="s">
        <v>77</v>
      </c>
      <c r="C16" t="str">
        <f t="shared" si="0"/>
        <v>RACHYCENTRON CANADUM</v>
      </c>
      <c r="D16" t="s">
        <v>6</v>
      </c>
      <c r="E16" t="s">
        <v>43</v>
      </c>
      <c r="F16" t="s">
        <v>87</v>
      </c>
    </row>
    <row r="17" spans="1:6" x14ac:dyDescent="0.25">
      <c r="A17" s="3" t="s">
        <v>23</v>
      </c>
      <c r="B17" s="1" t="s">
        <v>75</v>
      </c>
      <c r="C17" t="str">
        <f t="shared" si="0"/>
        <v>LOPHOLATILUS CHAMAELEONTICEPS</v>
      </c>
      <c r="D17" t="s">
        <v>5</v>
      </c>
      <c r="E17" t="s">
        <v>43</v>
      </c>
      <c r="F17" t="s">
        <v>86</v>
      </c>
    </row>
    <row r="18" spans="1:6" x14ac:dyDescent="0.25">
      <c r="A18" s="3" t="s">
        <v>24</v>
      </c>
      <c r="B18" s="1" t="s">
        <v>53</v>
      </c>
      <c r="C18" t="str">
        <f t="shared" si="0"/>
        <v>MELANOGRAMMUS AEGLEFINUS</v>
      </c>
      <c r="D18" t="s">
        <v>4</v>
      </c>
      <c r="E18" t="s">
        <v>43</v>
      </c>
      <c r="F18" t="s">
        <v>86</v>
      </c>
    </row>
    <row r="19" spans="1:6" x14ac:dyDescent="0.25">
      <c r="A19" s="2" t="s">
        <v>25</v>
      </c>
      <c r="B19" s="1" t="s">
        <v>65</v>
      </c>
      <c r="C19" t="str">
        <f t="shared" si="0"/>
        <v>DORYTEUTHIS (AMERIGO) PEALEII</v>
      </c>
      <c r="D19" t="s">
        <v>5</v>
      </c>
      <c r="E19" t="s">
        <v>42</v>
      </c>
      <c r="F19" t="s">
        <v>90</v>
      </c>
    </row>
    <row r="20" spans="1:6" x14ac:dyDescent="0.25">
      <c r="A20" s="2" t="s">
        <v>47</v>
      </c>
      <c r="B20" s="1" t="s">
        <v>78</v>
      </c>
      <c r="C20" t="str">
        <f t="shared" si="0"/>
        <v>LOPHIUS AMERICANUS</v>
      </c>
      <c r="D20" t="s">
        <v>5</v>
      </c>
      <c r="E20" t="s">
        <v>42</v>
      </c>
      <c r="F20" t="s">
        <v>86</v>
      </c>
    </row>
    <row r="21" spans="1:6" x14ac:dyDescent="0.25">
      <c r="A21" s="2" t="s">
        <v>26</v>
      </c>
      <c r="B21" s="1" t="s">
        <v>61</v>
      </c>
      <c r="C21" t="str">
        <f t="shared" si="0"/>
        <v>ZOARCES AMERICANUS</v>
      </c>
      <c r="D21" t="s">
        <v>4</v>
      </c>
      <c r="E21" t="s">
        <v>43</v>
      </c>
      <c r="F21" t="s">
        <v>86</v>
      </c>
    </row>
    <row r="22" spans="1:6" x14ac:dyDescent="0.25">
      <c r="A22" s="2" t="s">
        <v>27</v>
      </c>
      <c r="B22" s="1" t="s">
        <v>79</v>
      </c>
      <c r="C22" t="str">
        <f t="shared" si="0"/>
        <v>ARCTICA ISLANDICA</v>
      </c>
      <c r="D22" t="s">
        <v>5</v>
      </c>
      <c r="E22" t="s">
        <v>45</v>
      </c>
      <c r="F22" t="s">
        <v>88</v>
      </c>
    </row>
    <row r="23" spans="1:6" x14ac:dyDescent="0.25">
      <c r="A23" s="2" t="s">
        <v>28</v>
      </c>
      <c r="B23" s="1" t="s">
        <v>54</v>
      </c>
      <c r="C23" t="str">
        <f t="shared" si="0"/>
        <v>POLLACHIUS VIRENS</v>
      </c>
      <c r="D23" t="s">
        <v>4</v>
      </c>
      <c r="E23" t="s">
        <v>42</v>
      </c>
      <c r="F23" t="s">
        <v>86</v>
      </c>
    </row>
    <row r="24" spans="1:6" x14ac:dyDescent="0.25">
      <c r="A24" s="2" t="s">
        <v>48</v>
      </c>
      <c r="B24" s="1" t="s">
        <v>49</v>
      </c>
      <c r="C24" t="str">
        <f t="shared" si="0"/>
        <v>SCIAENOPS OCELLATUS</v>
      </c>
      <c r="D24" t="s">
        <v>6</v>
      </c>
      <c r="E24" t="s">
        <v>43</v>
      </c>
      <c r="F24" t="s">
        <v>86</v>
      </c>
    </row>
    <row r="25" spans="1:6" x14ac:dyDescent="0.25">
      <c r="A25" s="2" t="s">
        <v>29</v>
      </c>
      <c r="B25" s="1" t="s">
        <v>72</v>
      </c>
      <c r="C25" t="str">
        <f t="shared" si="0"/>
        <v>STENOTOMUS CHRYSOPS</v>
      </c>
      <c r="D25" t="s">
        <v>5</v>
      </c>
      <c r="E25" t="s">
        <v>43</v>
      </c>
      <c r="F25" t="s">
        <v>86</v>
      </c>
    </row>
    <row r="26" spans="1:6" x14ac:dyDescent="0.25">
      <c r="A26" s="2" t="s">
        <v>30</v>
      </c>
      <c r="B26" s="1" t="s">
        <v>66</v>
      </c>
      <c r="C26" t="str">
        <f t="shared" si="0"/>
        <v>ILLEX ILLECEBROSUS</v>
      </c>
      <c r="D26" t="s">
        <v>5</v>
      </c>
      <c r="E26" t="s">
        <v>42</v>
      </c>
      <c r="F26" t="s">
        <v>90</v>
      </c>
    </row>
    <row r="27" spans="1:6" x14ac:dyDescent="0.25">
      <c r="A27" s="2" t="s">
        <v>31</v>
      </c>
      <c r="B27" s="1" t="s">
        <v>80</v>
      </c>
      <c r="C27" t="str">
        <f t="shared" si="0"/>
        <v>SCOMBEROMORUS MACULATUS</v>
      </c>
      <c r="D27" t="s">
        <v>7</v>
      </c>
      <c r="E27" t="s">
        <v>42</v>
      </c>
      <c r="F27" t="s">
        <v>90</v>
      </c>
    </row>
    <row r="28" spans="1:6" x14ac:dyDescent="0.25">
      <c r="A28" s="2" t="s">
        <v>33</v>
      </c>
      <c r="B28" s="1" t="s">
        <v>81</v>
      </c>
      <c r="C28" t="str">
        <f t="shared" si="0"/>
        <v>SQUALUS ACANTHIAS</v>
      </c>
      <c r="D28" t="s">
        <v>5</v>
      </c>
      <c r="E28" t="s">
        <v>42</v>
      </c>
      <c r="F28" t="s">
        <v>86</v>
      </c>
    </row>
    <row r="29" spans="1:6" x14ac:dyDescent="0.25">
      <c r="A29" s="2" t="s">
        <v>34</v>
      </c>
      <c r="B29" s="1" t="s">
        <v>82</v>
      </c>
      <c r="C29" t="str">
        <f t="shared" si="0"/>
        <v>MORONE SAXATILIS</v>
      </c>
      <c r="D29" t="s">
        <v>6</v>
      </c>
      <c r="E29" t="s">
        <v>42</v>
      </c>
      <c r="F29" t="s">
        <v>86</v>
      </c>
    </row>
    <row r="30" spans="1:6" x14ac:dyDescent="0.25">
      <c r="A30" s="2" t="s">
        <v>32</v>
      </c>
      <c r="B30" s="1" t="s">
        <v>71</v>
      </c>
      <c r="C30" t="str">
        <f t="shared" si="0"/>
        <v>PARALICHTHYS DENTATUS</v>
      </c>
      <c r="D30" t="s">
        <v>5</v>
      </c>
      <c r="E30" t="s">
        <v>42</v>
      </c>
      <c r="F30" t="s">
        <v>86</v>
      </c>
    </row>
    <row r="31" spans="1:6" x14ac:dyDescent="0.25">
      <c r="A31" s="2" t="s">
        <v>35</v>
      </c>
      <c r="B31" s="1" t="s">
        <v>83</v>
      </c>
      <c r="C31" t="str">
        <f t="shared" si="0"/>
        <v>TAUTOGA ONITIS</v>
      </c>
      <c r="D31" t="s">
        <v>6</v>
      </c>
      <c r="E31" t="s">
        <v>43</v>
      </c>
      <c r="F31" t="s">
        <v>86</v>
      </c>
    </row>
    <row r="32" spans="1:6" x14ac:dyDescent="0.25">
      <c r="A32" s="2" t="s">
        <v>36</v>
      </c>
      <c r="B32" s="1" t="s">
        <v>58</v>
      </c>
      <c r="C32" t="str">
        <f t="shared" si="0"/>
        <v>UROPHYCIS TENUIS</v>
      </c>
      <c r="D32" t="s">
        <v>4</v>
      </c>
      <c r="E32" t="s">
        <v>42</v>
      </c>
      <c r="F32" t="s">
        <v>86</v>
      </c>
    </row>
    <row r="33" spans="1:6" x14ac:dyDescent="0.25">
      <c r="A33" s="2" t="s">
        <v>37</v>
      </c>
      <c r="B33" s="1" t="s">
        <v>60</v>
      </c>
      <c r="C33" t="str">
        <f t="shared" si="0"/>
        <v>SCOPHTHALMUS AQUOSUS</v>
      </c>
      <c r="D33" t="s">
        <v>4</v>
      </c>
      <c r="E33" t="s">
        <v>42</v>
      </c>
      <c r="F33" t="s">
        <v>86</v>
      </c>
    </row>
    <row r="34" spans="1:6" x14ac:dyDescent="0.25">
      <c r="A34" s="2" t="s">
        <v>38</v>
      </c>
      <c r="B34" s="1" t="s">
        <v>55</v>
      </c>
      <c r="C34" t="str">
        <f t="shared" si="0"/>
        <v>PSEUDOPLEURONECTES AMERICANUS</v>
      </c>
      <c r="D34" t="s">
        <v>4</v>
      </c>
      <c r="E34" t="s">
        <v>43</v>
      </c>
      <c r="F34" t="s">
        <v>86</v>
      </c>
    </row>
    <row r="35" spans="1:6" x14ac:dyDescent="0.25">
      <c r="A35" s="2" t="s">
        <v>39</v>
      </c>
      <c r="B35" s="1" t="s">
        <v>59</v>
      </c>
      <c r="C35" t="str">
        <f t="shared" si="0"/>
        <v>GLYPTOCEPHALUS CYNOGLOSSUS</v>
      </c>
      <c r="D35" t="s">
        <v>4</v>
      </c>
      <c r="E35" t="s">
        <v>43</v>
      </c>
      <c r="F35" t="s">
        <v>86</v>
      </c>
    </row>
    <row r="36" spans="1:6" x14ac:dyDescent="0.25">
      <c r="A36" s="2" t="s">
        <v>40</v>
      </c>
      <c r="B36" s="1" t="s">
        <v>56</v>
      </c>
      <c r="C36" t="str">
        <f t="shared" si="0"/>
        <v>LIMANDA FERRUGINEA</v>
      </c>
      <c r="D36" t="s">
        <v>4</v>
      </c>
      <c r="E36" t="s">
        <v>43</v>
      </c>
      <c r="F36" t="s">
        <v>86</v>
      </c>
    </row>
  </sheetData>
  <hyperlinks>
    <hyperlink ref="E1" r:id="rId1" xr:uid="{995131A8-B1B1-478B-9035-4E03A772CA43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Gallagher</dc:creator>
  <cp:lastModifiedBy>Katherine Gallagher</cp:lastModifiedBy>
  <dcterms:created xsi:type="dcterms:W3CDTF">2025-06-12T15:59:20Z</dcterms:created>
  <dcterms:modified xsi:type="dcterms:W3CDTF">2025-06-13T17:08:11Z</dcterms:modified>
</cp:coreProperties>
</file>